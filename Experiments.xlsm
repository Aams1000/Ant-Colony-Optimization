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/>
  <workbookPr showInkAnnotation="0" autoCompressPictures="0"/>
  <bookViews>
    <workbookView xWindow="0" yWindow="0" windowWidth="25600" windowHeight="1546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" i="1" l="1"/>
  <c r="H15" i="1"/>
  <c r="H14" i="1"/>
  <c r="H12" i="1"/>
  <c r="H11" i="1"/>
  <c r="H10" i="1"/>
  <c r="H8" i="1"/>
  <c r="H7" i="1"/>
  <c r="H6" i="1"/>
  <c r="H4" i="1"/>
  <c r="H3" i="1"/>
  <c r="H2" i="1"/>
</calcChain>
</file>

<file path=xl/sharedStrings.xml><?xml version="1.0" encoding="utf-8"?>
<sst xmlns="http://schemas.openxmlformats.org/spreadsheetml/2006/main" count="32" uniqueCount="13">
  <si>
    <t>Name of file</t>
  </si>
  <si>
    <t>Number of cities</t>
  </si>
  <si>
    <t>Number of ants</t>
  </si>
  <si>
    <t>Number of iterations</t>
  </si>
  <si>
    <t>Length of shortest path</t>
  </si>
  <si>
    <t>Yes</t>
  </si>
  <si>
    <t>e</t>
  </si>
  <si>
    <t>u2152.tsp</t>
  </si>
  <si>
    <t>fl3795.tsp</t>
  </si>
  <si>
    <t>Time (s)</t>
  </si>
  <si>
    <t>fnl4461.tsp</t>
  </si>
  <si>
    <t>Time limit reached</t>
  </si>
  <si>
    <t>rl5934.tsp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</si>
</sst>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"/>
  <sheetViews>
    <sheetView tabSelected="1" workbookViewId="0">
      <selection activeCell="G18" sqref="G18"/>
    </sheetView>
  </sheetViews>
  <sheetFormatPr baseColWidth="10" defaultRowHeight="15" x14ac:dyDescent="0"/>
  <cols>
    <col min="2" max="2" width="11.1640625" bestFit="1" customWidth="1"/>
    <col min="3" max="3" width="14.6640625" bestFit="1" customWidth="1"/>
    <col min="4" max="4" width="14" bestFit="1" customWidth="1"/>
    <col min="5" max="5" width="17.1640625" customWidth="1"/>
    <col min="6" max="6" width="18.33203125" bestFit="1" customWidth="1"/>
    <col min="7" max="7" width="20.1640625" bestFit="1" customWidth="1"/>
  </cols>
  <sheetData>
    <row r="1" spans="1:8">
      <c r="A1" t="s">
        <v>6</v>
      </c>
      <c r="B1" t="s">
        <v>0</v>
      </c>
      <c r="C1" t="s">
        <v>1</v>
      </c>
      <c r="D1" t="s">
        <v>2</v>
      </c>
      <c r="E1" t="s">
        <v>11</v>
      </c>
      <c r="F1" t="s">
        <v>3</v>
      </c>
      <c r="G1" t="s">
        <v>4</v>
      </c>
      <c r="H1" t="s">
        <v>9</v>
      </c>
    </row>
    <row r="2" spans="1:8">
      <c r="A2">
        <v>10</v>
      </c>
      <c r="B2" t="s">
        <v>7</v>
      </c>
      <c r="C2">
        <v>2152</v>
      </c>
      <c r="D2">
        <v>20</v>
      </c>
      <c r="E2" t="s">
        <v>5</v>
      </c>
      <c r="F2">
        <v>9</v>
      </c>
      <c r="G2">
        <v>142165.29892242601</v>
      </c>
      <c r="H2">
        <f>126993/1000</f>
        <v>126.99299999999999</v>
      </c>
    </row>
    <row r="3" spans="1:8">
      <c r="A3">
        <v>20</v>
      </c>
      <c r="B3" t="s">
        <v>7</v>
      </c>
      <c r="C3">
        <v>2152</v>
      </c>
      <c r="D3">
        <v>20</v>
      </c>
      <c r="E3" t="s">
        <v>5</v>
      </c>
      <c r="F3">
        <v>9</v>
      </c>
      <c r="G3">
        <v>144071.88430815699</v>
      </c>
      <c r="H3">
        <f>125507/1000</f>
        <v>125.50700000000001</v>
      </c>
    </row>
    <row r="4" spans="1:8">
      <c r="A4">
        <v>30</v>
      </c>
      <c r="B4" t="s">
        <v>7</v>
      </c>
      <c r="C4">
        <v>2152</v>
      </c>
      <c r="D4">
        <v>20</v>
      </c>
      <c r="E4" t="s">
        <v>5</v>
      </c>
      <c r="F4">
        <v>9</v>
      </c>
      <c r="G4">
        <v>143595.47948974199</v>
      </c>
      <c r="H4">
        <f>125025/1000</f>
        <v>125.02500000000001</v>
      </c>
    </row>
    <row r="6" spans="1:8">
      <c r="A6">
        <v>10</v>
      </c>
      <c r="B6" t="s">
        <v>8</v>
      </c>
      <c r="C6">
        <v>3795</v>
      </c>
      <c r="D6">
        <v>20</v>
      </c>
      <c r="E6" t="s">
        <v>5</v>
      </c>
      <c r="F6">
        <v>3</v>
      </c>
      <c r="G6">
        <v>64491.927653466002</v>
      </c>
      <c r="H6">
        <f>134266/1000</f>
        <v>134.26599999999999</v>
      </c>
    </row>
    <row r="7" spans="1:8">
      <c r="A7">
        <v>20</v>
      </c>
      <c r="B7" t="s">
        <v>8</v>
      </c>
      <c r="C7">
        <v>3795</v>
      </c>
      <c r="D7">
        <v>20</v>
      </c>
      <c r="E7" t="s">
        <v>5</v>
      </c>
      <c r="F7">
        <v>3</v>
      </c>
      <c r="G7">
        <v>63691.687951857799</v>
      </c>
      <c r="H7">
        <f>134916/1000</f>
        <v>134.916</v>
      </c>
    </row>
    <row r="8" spans="1:8">
      <c r="A8">
        <v>30</v>
      </c>
      <c r="B8" t="s">
        <v>8</v>
      </c>
      <c r="C8">
        <v>3795</v>
      </c>
      <c r="D8">
        <v>20</v>
      </c>
      <c r="E8" t="s">
        <v>5</v>
      </c>
      <c r="F8">
        <v>3</v>
      </c>
      <c r="G8">
        <v>65593.660168296701</v>
      </c>
      <c r="H8">
        <f>132498/1000</f>
        <v>132.49799999999999</v>
      </c>
    </row>
    <row r="10" spans="1:8">
      <c r="A10">
        <v>10</v>
      </c>
      <c r="B10" t="s">
        <v>10</v>
      </c>
      <c r="C10">
        <v>4461</v>
      </c>
      <c r="D10">
        <v>20</v>
      </c>
      <c r="E10" t="s">
        <v>5</v>
      </c>
      <c r="F10">
        <v>2</v>
      </c>
      <c r="G10">
        <v>425582.825130646</v>
      </c>
      <c r="H10">
        <f>136049/1000</f>
        <v>136.04900000000001</v>
      </c>
    </row>
    <row r="11" spans="1:8">
      <c r="A11">
        <v>20</v>
      </c>
      <c r="B11" t="s">
        <v>10</v>
      </c>
      <c r="C11">
        <v>4461</v>
      </c>
      <c r="D11">
        <v>20</v>
      </c>
      <c r="E11" t="s">
        <v>5</v>
      </c>
      <c r="F11">
        <v>2</v>
      </c>
      <c r="G11">
        <v>420702.122788165</v>
      </c>
      <c r="H11">
        <f>130650/1000</f>
        <v>130.65</v>
      </c>
    </row>
    <row r="12" spans="1:8">
      <c r="A12">
        <v>30</v>
      </c>
      <c r="B12" t="s">
        <v>10</v>
      </c>
      <c r="C12">
        <v>4461</v>
      </c>
      <c r="D12">
        <v>20</v>
      </c>
      <c r="E12" t="s">
        <v>5</v>
      </c>
      <c r="F12">
        <v>2</v>
      </c>
      <c r="G12">
        <v>423068.16962346999</v>
      </c>
      <c r="H12">
        <f>134468/1000</f>
        <v>134.46799999999999</v>
      </c>
    </row>
    <row r="14" spans="1:8">
      <c r="A14">
        <v>10</v>
      </c>
      <c r="B14" t="s">
        <v>12</v>
      </c>
      <c r="C14">
        <v>5934</v>
      </c>
      <c r="D14">
        <v>20</v>
      </c>
      <c r="E14" t="s">
        <v>5</v>
      </c>
      <c r="F14">
        <v>1</v>
      </c>
      <c r="G14">
        <v>1378530.0229566901</v>
      </c>
      <c r="H14">
        <f>132136/1000</f>
        <v>132.136</v>
      </c>
    </row>
    <row r="15" spans="1:8">
      <c r="A15">
        <v>20</v>
      </c>
      <c r="B15" t="s">
        <v>12</v>
      </c>
      <c r="C15">
        <v>5934</v>
      </c>
      <c r="D15">
        <v>20</v>
      </c>
      <c r="E15" t="s">
        <v>5</v>
      </c>
      <c r="F15">
        <v>1</v>
      </c>
      <c r="G15">
        <v>1374250.1336087</v>
      </c>
      <c r="H15">
        <f>123448/1000</f>
        <v>123.44799999999999</v>
      </c>
    </row>
    <row r="16" spans="1:8">
      <c r="A16">
        <v>30</v>
      </c>
      <c r="B16" t="s">
        <v>12</v>
      </c>
      <c r="C16">
        <v>5934</v>
      </c>
      <c r="D16">
        <v>20</v>
      </c>
      <c r="E16" t="s">
        <v>5</v>
      </c>
      <c r="F16">
        <v>1</v>
      </c>
      <c r="G16">
        <v>1412519.12888855</v>
      </c>
      <c r="H16">
        <f>122658/1000</f>
        <v>122.658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Davis</dc:creator>
  <cp:lastModifiedBy>Ryan Davis</cp:lastModifiedBy>
  <dcterms:created xsi:type="dcterms:W3CDTF">2015-04-01T18:58:21Z</dcterms:created>
  <dcterms:modified xsi:type="dcterms:W3CDTF">2015-04-02T15:28:13Z</dcterms:modified>
</cp:coreProperties>
</file>